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ocuments\حسابات الشلرات\"/>
    </mc:Choice>
  </mc:AlternateContent>
  <xr:revisionPtr revIDLastSave="0" documentId="13_ncr:1_{710A5379-1A79-499A-A4F2-FF339FCCC9F2}" xr6:coauthVersionLast="45" xr6:coauthVersionMax="45" xr10:uidLastSave="{00000000-0000-0000-0000-000000000000}"/>
  <bookViews>
    <workbookView xWindow="-108" yWindow="-108" windowWidth="23256" windowHeight="12600" activeTab="1" xr2:uid="{07841962-4B6A-4EB9-8724-1002FAAE788E}"/>
  </bookViews>
  <sheets>
    <sheet name="ورقة1" sheetId="1" r:id="rId1"/>
    <sheet name="ورقة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4" i="2" l="1"/>
  <c r="Q14" i="2"/>
  <c r="D27" i="2" l="1"/>
  <c r="F23" i="2"/>
  <c r="F19" i="2"/>
  <c r="N14" i="2" l="1"/>
  <c r="K11" i="2"/>
  <c r="L11" i="2" l="1"/>
  <c r="L14" i="2" s="1"/>
  <c r="O14" i="2" s="1"/>
  <c r="K22" i="1"/>
  <c r="L3" i="1"/>
  <c r="I3" i="1" s="1"/>
  <c r="J10" i="1" s="1"/>
  <c r="C6" i="1"/>
  <c r="D9" i="1" l="1"/>
  <c r="D6" i="1"/>
  <c r="F9" i="1" l="1"/>
</calcChain>
</file>

<file path=xl/sharedStrings.xml><?xml version="1.0" encoding="utf-8"?>
<sst xmlns="http://schemas.openxmlformats.org/spreadsheetml/2006/main" count="48" uniqueCount="34">
  <si>
    <t>S.H.T.W</t>
  </si>
  <si>
    <t>DETA T</t>
  </si>
  <si>
    <t>HOURS</t>
  </si>
  <si>
    <t>N</t>
  </si>
  <si>
    <t>TONS</t>
  </si>
  <si>
    <t>FLOW RATE (size of tank in m3</t>
  </si>
  <si>
    <t>in temp</t>
  </si>
  <si>
    <t>out temp</t>
  </si>
  <si>
    <t>المياه الحارة</t>
  </si>
  <si>
    <t>المياه الباردة</t>
  </si>
  <si>
    <t>فرق الحرارات</t>
  </si>
  <si>
    <t>Specific Heat Capacity Of Water</t>
  </si>
  <si>
    <t>معدل التدفق (حجم الخزان بالمتر المكعب)</t>
  </si>
  <si>
    <t>الزمن</t>
  </si>
  <si>
    <t>1000 L = 1m3</t>
  </si>
  <si>
    <t>الإحتياج الفعلي TON</t>
  </si>
  <si>
    <t>x</t>
  </si>
  <si>
    <t>/</t>
  </si>
  <si>
    <t>لتر</t>
  </si>
  <si>
    <t>مترمكعب</t>
  </si>
  <si>
    <t>hours</t>
  </si>
  <si>
    <t>inlet</t>
  </si>
  <si>
    <t>outlet</t>
  </si>
  <si>
    <t>HP</t>
  </si>
  <si>
    <t>hour*3HP</t>
  </si>
  <si>
    <t>Specific heat capacity of water</t>
  </si>
  <si>
    <t>Notes:</t>
  </si>
  <si>
    <t>=</t>
  </si>
  <si>
    <t>m3</t>
  </si>
  <si>
    <t>Gallon</t>
  </si>
  <si>
    <t xml:space="preserve"> m3</t>
  </si>
  <si>
    <t>gallon</t>
  </si>
  <si>
    <t>تحويلات سريعة</t>
  </si>
  <si>
    <t>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</si>
</sst>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sz val="11"/>
      <color theme="4"/>
      <name val="Arial"/>
      <family val="2"/>
      <charset val="178"/>
      <scheme val="minor"/>
    </font>
    <font>
      <sz val="11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3386-CD6F-48A3-9C16-9F8F0BF600DE}">
  <dimension ref="A1:N22"/>
  <sheetViews>
    <sheetView workbookViewId="0">
      <selection activeCell="K22" sqref="K22"/>
    </sheetView>
  </sheetViews>
  <sheetFormatPr defaultRowHeight="13.8" x14ac:dyDescent="0.25"/>
  <cols>
    <col min="1" max="1" width="7.796875" style="1" bestFit="1" customWidth="1"/>
    <col min="2" max="2" width="26.69921875" style="1" bestFit="1" customWidth="1"/>
    <col min="3" max="3" width="7.796875" style="1" bestFit="1" customWidth="1"/>
    <col min="4" max="4" width="4.8984375" style="1" bestFit="1" customWidth="1"/>
    <col min="5" max="5" width="7.3984375" style="1" bestFit="1" customWidth="1"/>
    <col min="6" max="6" width="11.8984375" style="1" bestFit="1" customWidth="1"/>
    <col min="7" max="8" width="8.796875" style="1"/>
    <col min="9" max="9" width="3.8984375" style="1" bestFit="1" customWidth="1"/>
    <col min="10" max="10" width="25.09765625" style="1" bestFit="1" customWidth="1"/>
    <col min="11" max="11" width="27.09765625" style="1" bestFit="1" customWidth="1"/>
    <col min="12" max="12" width="9.5" style="1" bestFit="1" customWidth="1"/>
    <col min="13" max="14" width="7.796875" style="1" bestFit="1" customWidth="1"/>
    <col min="15" max="16384" width="8.796875" style="1"/>
  </cols>
  <sheetData>
    <row r="1" spans="1:14" x14ac:dyDescent="0.25">
      <c r="J1" s="4" t="s">
        <v>12</v>
      </c>
    </row>
    <row r="2" spans="1:14" x14ac:dyDescent="0.25">
      <c r="B2" s="1" t="s">
        <v>6</v>
      </c>
      <c r="C2" s="1" t="s">
        <v>7</v>
      </c>
      <c r="J2" s="4" t="s">
        <v>14</v>
      </c>
      <c r="K2" s="4" t="s">
        <v>11</v>
      </c>
      <c r="L2" s="4" t="s">
        <v>10</v>
      </c>
      <c r="M2" s="4" t="s">
        <v>9</v>
      </c>
      <c r="N2" s="4" t="s">
        <v>8</v>
      </c>
    </row>
    <row r="3" spans="1:14" x14ac:dyDescent="0.25">
      <c r="B3" s="1">
        <v>45</v>
      </c>
      <c r="C3" s="1">
        <v>35</v>
      </c>
      <c r="I3" s="3">
        <f>K3*J3*L3</f>
        <v>105</v>
      </c>
      <c r="J3" s="5">
        <v>2.5</v>
      </c>
      <c r="K3" s="3">
        <v>4.2</v>
      </c>
      <c r="L3" s="3">
        <f>N3-M3</f>
        <v>10</v>
      </c>
      <c r="M3" s="5">
        <v>35</v>
      </c>
      <c r="N3" s="5">
        <v>45</v>
      </c>
    </row>
    <row r="5" spans="1:14" x14ac:dyDescent="0.25">
      <c r="A5" s="1" t="s">
        <v>0</v>
      </c>
      <c r="B5" s="1" t="s">
        <v>5</v>
      </c>
      <c r="C5" s="1" t="s">
        <v>1</v>
      </c>
      <c r="D5" s="1" t="s">
        <v>3</v>
      </c>
      <c r="J5" s="4" t="s">
        <v>13</v>
      </c>
      <c r="K5" s="4" t="s">
        <v>13</v>
      </c>
    </row>
    <row r="6" spans="1:14" x14ac:dyDescent="0.25">
      <c r="A6" s="2">
        <v>4.2</v>
      </c>
      <c r="B6" s="1">
        <v>2.5</v>
      </c>
      <c r="C6" s="1">
        <f>B3-C3</f>
        <v>10</v>
      </c>
      <c r="D6" s="1">
        <f>A6*B6*C6</f>
        <v>105</v>
      </c>
      <c r="J6" s="5">
        <v>0.2</v>
      </c>
      <c r="K6" s="3">
        <v>10.8</v>
      </c>
    </row>
    <row r="8" spans="1:14" x14ac:dyDescent="0.25">
      <c r="B8" s="1" t="s">
        <v>2</v>
      </c>
      <c r="D8" s="1" t="s">
        <v>3</v>
      </c>
      <c r="F8" s="1" t="s">
        <v>4</v>
      </c>
    </row>
    <row r="9" spans="1:14" x14ac:dyDescent="0.25">
      <c r="A9" s="2">
        <v>10.8</v>
      </c>
      <c r="B9" s="1">
        <v>1</v>
      </c>
      <c r="D9" s="1">
        <f>A9*B9</f>
        <v>10.8</v>
      </c>
      <c r="F9" s="1">
        <f>D6/D9</f>
        <v>9.7222222222222214</v>
      </c>
      <c r="J9" s="4" t="s">
        <v>15</v>
      </c>
    </row>
    <row r="10" spans="1:14" x14ac:dyDescent="0.25">
      <c r="J10" s="6">
        <f>I3/K6</f>
        <v>9.7222222222222214</v>
      </c>
    </row>
    <row r="22" spans="5:11" x14ac:dyDescent="0.25">
      <c r="E22" s="1">
        <v>4.2</v>
      </c>
      <c r="F22" s="1">
        <v>2.5</v>
      </c>
      <c r="G22" s="1">
        <v>45</v>
      </c>
      <c r="H22" s="1">
        <v>35</v>
      </c>
      <c r="I22" s="1">
        <v>3.6</v>
      </c>
      <c r="J22" s="1">
        <v>3</v>
      </c>
      <c r="K22" s="1">
        <f>E22*F22*G22-H22/I22*J22</f>
        <v>443.33333333333331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08E1-1AD4-4949-B2C2-2B1100B5A23A}">
  <dimension ref="B7:Q27"/>
  <sheetViews>
    <sheetView tabSelected="1" workbookViewId="0">
      <selection activeCell="L9" sqref="L9"/>
    </sheetView>
  </sheetViews>
  <sheetFormatPr defaultRowHeight="13.8" x14ac:dyDescent="0.25"/>
  <cols>
    <col min="1" max="16384" width="8.796875" style="1"/>
  </cols>
  <sheetData>
    <row r="7" spans="2:17" x14ac:dyDescent="0.25">
      <c r="B7" s="1" t="s">
        <v>26</v>
      </c>
      <c r="I7" s="1" t="s">
        <v>18</v>
      </c>
      <c r="J7" s="1" t="s">
        <v>21</v>
      </c>
      <c r="K7" s="1" t="s">
        <v>22</v>
      </c>
      <c r="L7" s="1" t="s">
        <v>20</v>
      </c>
    </row>
    <row r="8" spans="2:17" x14ac:dyDescent="0.25">
      <c r="G8" s="2">
        <v>1</v>
      </c>
      <c r="I8" s="8">
        <v>8000</v>
      </c>
      <c r="J8" s="8">
        <v>30</v>
      </c>
      <c r="K8" s="8">
        <v>7</v>
      </c>
      <c r="L8" s="8">
        <v>4</v>
      </c>
    </row>
    <row r="10" spans="2:17" x14ac:dyDescent="0.25">
      <c r="C10" s="1" t="s">
        <v>25</v>
      </c>
      <c r="I10" s="1" t="s">
        <v>19</v>
      </c>
    </row>
    <row r="11" spans="2:17" x14ac:dyDescent="0.25">
      <c r="B11" s="1" t="s">
        <v>27</v>
      </c>
      <c r="C11" s="7">
        <v>4.2</v>
      </c>
      <c r="G11" s="2">
        <v>2</v>
      </c>
      <c r="H11" s="7">
        <v>4.2</v>
      </c>
      <c r="I11" s="8">
        <v>8</v>
      </c>
      <c r="J11" s="1" t="s">
        <v>16</v>
      </c>
      <c r="K11" s="7">
        <f>J8-K8</f>
        <v>23</v>
      </c>
      <c r="L11" s="7">
        <f>H11*I11*K11</f>
        <v>772.80000000000007</v>
      </c>
    </row>
    <row r="13" spans="2:17" x14ac:dyDescent="0.25">
      <c r="N13" s="1" t="s">
        <v>24</v>
      </c>
      <c r="O13" s="1" t="s">
        <v>23</v>
      </c>
      <c r="P13" s="1" t="s">
        <v>20</v>
      </c>
      <c r="Q13" s="1" t="s">
        <v>23</v>
      </c>
    </row>
    <row r="14" spans="2:17" x14ac:dyDescent="0.25">
      <c r="G14" s="2">
        <v>3</v>
      </c>
      <c r="L14" s="7">
        <f>L11</f>
        <v>772.80000000000007</v>
      </c>
      <c r="M14" s="1" t="s">
        <v>17</v>
      </c>
      <c r="N14" s="7">
        <f>3.6*3</f>
        <v>10.8</v>
      </c>
      <c r="O14" s="1">
        <f>L14/N14</f>
        <v>71.555555555555557</v>
      </c>
      <c r="P14" s="2">
        <f>L8</f>
        <v>4</v>
      </c>
      <c r="Q14" s="1">
        <f>O14/L8</f>
        <v>17.888888888888889</v>
      </c>
    </row>
    <row r="16" spans="2:17" x14ac:dyDescent="0.25">
      <c r="B16" s="1" t="s">
        <v>32</v>
      </c>
    </row>
    <row r="18" spans="2:7" x14ac:dyDescent="0.25">
      <c r="B18" s="2" t="s">
        <v>29</v>
      </c>
      <c r="C18" s="10" t="s">
        <v>17</v>
      </c>
      <c r="D18" s="7" t="s">
        <v>28</v>
      </c>
    </row>
    <row r="19" spans="2:7" x14ac:dyDescent="0.25">
      <c r="B19" s="8">
        <v>2000</v>
      </c>
      <c r="C19" s="7" t="s">
        <v>17</v>
      </c>
      <c r="D19" s="9">
        <v>264.17200000000003</v>
      </c>
      <c r="E19" s="7" t="s">
        <v>27</v>
      </c>
      <c r="F19" s="11">
        <f>B19/D19</f>
        <v>7.5708250685159664</v>
      </c>
      <c r="G19" s="2" t="s">
        <v>28</v>
      </c>
    </row>
    <row r="22" spans="2:7" x14ac:dyDescent="0.25">
      <c r="B22" s="2" t="s">
        <v>30</v>
      </c>
      <c r="C22" s="1" t="s">
        <v>16</v>
      </c>
      <c r="D22" s="7" t="s">
        <v>29</v>
      </c>
    </row>
    <row r="23" spans="2:7" x14ac:dyDescent="0.25">
      <c r="B23" s="8">
        <v>7.5708250000000001</v>
      </c>
      <c r="C23" s="7" t="s">
        <v>16</v>
      </c>
      <c r="D23" s="9">
        <v>264.17200000000003</v>
      </c>
      <c r="E23" s="7" t="s">
        <v>27</v>
      </c>
      <c r="F23" s="11">
        <f>B23*D23</f>
        <v>1999.9999819000002</v>
      </c>
      <c r="G23" s="2" t="s">
        <v>31</v>
      </c>
    </row>
    <row r="26" spans="2:7" x14ac:dyDescent="0.25">
      <c r="B26" s="1" t="s">
        <v>33</v>
      </c>
      <c r="D26" s="1" t="s">
        <v>28</v>
      </c>
    </row>
    <row r="27" spans="2:7" x14ac:dyDescent="0.25">
      <c r="B27" s="1">
        <v>3000</v>
      </c>
      <c r="C27" s="1" t="s">
        <v>27</v>
      </c>
      <c r="D27" s="1">
        <f>B27/1000</f>
        <v>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2024-09-28T13:42:03Z</dcterms:created>
  <dcterms:modified xsi:type="dcterms:W3CDTF">2025-07-08T08:45:27Z</dcterms:modified>
</cp:coreProperties>
</file>